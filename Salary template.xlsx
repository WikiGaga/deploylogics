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DE5D0D3-436D-4663-886A-D6DE7F537AD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ALARY OCT" sheetId="1" r:id="rId1"/>
  </sheets>
  <definedNames>
    <definedName name="_xlnm.Print_Area" localSheetId="0">'SALARY OCT'!$A$1:$S$6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" i="1" l="1"/>
  <c r="M6" i="1"/>
  <c r="K6" i="1"/>
  <c r="T5" i="1"/>
  <c r="M5" i="1"/>
  <c r="K5" i="1"/>
  <c r="T4" i="1"/>
  <c r="M4" i="1"/>
  <c r="K4" i="1"/>
  <c r="L5" i="1" l="1"/>
  <c r="S5" i="1" s="1"/>
  <c r="L4" i="1"/>
  <c r="L6" i="1"/>
  <c r="S6" i="1" s="1"/>
  <c r="S4" i="1" l="1"/>
  <c r="U4" i="1"/>
  <c r="U5" i="1"/>
  <c r="U6" i="1"/>
</calcChain>
</file>

<file path=xl/sharedStrings.xml><?xml version="1.0" encoding="utf-8"?>
<sst xmlns="http://schemas.openxmlformats.org/spreadsheetml/2006/main" count="33" uniqueCount="32">
  <si>
    <r>
      <rPr>
        <b/>
        <sz val="7"/>
        <rFont val="Times New Roman"/>
        <family val="1"/>
      </rPr>
      <t>BRANCHES</t>
    </r>
  </si>
  <si>
    <r>
      <rPr>
        <b/>
        <sz val="7"/>
        <rFont val="Times New Roman"/>
        <family val="1"/>
      </rPr>
      <t>SL NO</t>
    </r>
  </si>
  <si>
    <r>
      <rPr>
        <b/>
        <sz val="7"/>
        <rFont val="Times New Roman"/>
        <family val="1"/>
      </rPr>
      <t>NAME</t>
    </r>
  </si>
  <si>
    <r>
      <rPr>
        <b/>
        <sz val="7"/>
        <rFont val="Times New Roman"/>
        <family val="1"/>
      </rPr>
      <t>POSITI ON</t>
    </r>
  </si>
  <si>
    <r>
      <rPr>
        <b/>
        <sz val="7"/>
        <rFont val="Times New Roman"/>
        <family val="1"/>
      </rPr>
      <t>OT/HRS</t>
    </r>
  </si>
  <si>
    <r>
      <rPr>
        <b/>
        <sz val="7"/>
        <rFont val="Times New Roman"/>
        <family val="1"/>
      </rPr>
      <t>LEAVE</t>
    </r>
  </si>
  <si>
    <r>
      <rPr>
        <b/>
        <sz val="7"/>
        <rFont val="Times New Roman"/>
        <family val="1"/>
      </rPr>
      <t>ACT. BASIC</t>
    </r>
  </si>
  <si>
    <r>
      <rPr>
        <b/>
        <sz val="7"/>
        <rFont val="Times New Roman"/>
        <family val="1"/>
      </rPr>
      <t>OT</t>
    </r>
  </si>
  <si>
    <r>
      <rPr>
        <b/>
        <sz val="7"/>
        <rFont val="Times New Roman"/>
        <family val="1"/>
      </rPr>
      <t xml:space="preserve">DEDUCTIO
</t>
    </r>
    <r>
      <rPr>
        <b/>
        <sz val="7"/>
        <rFont val="Times New Roman"/>
        <family val="1"/>
      </rPr>
      <t>NS</t>
    </r>
  </si>
  <si>
    <r>
      <rPr>
        <b/>
        <sz val="7"/>
        <rFont val="Times New Roman"/>
        <family val="1"/>
      </rPr>
      <t>SAHAM</t>
    </r>
  </si>
  <si>
    <r>
      <rPr>
        <sz val="7"/>
        <rFont val="Times New Roman"/>
        <family val="1"/>
      </rPr>
      <t>SHIR ALI</t>
    </r>
  </si>
  <si>
    <r>
      <rPr>
        <sz val="7"/>
        <rFont val="Times New Roman"/>
        <family val="1"/>
      </rPr>
      <t>SERVICE CREW</t>
    </r>
  </si>
  <si>
    <r>
      <rPr>
        <sz val="7"/>
        <rFont val="Times New Roman"/>
        <family val="1"/>
      </rPr>
      <t>MOHAMED ISMAIL</t>
    </r>
  </si>
  <si>
    <r>
      <rPr>
        <sz val="7"/>
        <rFont val="Times New Roman"/>
        <family val="1"/>
      </rPr>
      <t xml:space="preserve">SERVICE
</t>
    </r>
    <r>
      <rPr>
        <sz val="7"/>
        <rFont val="Times New Roman"/>
        <family val="1"/>
      </rPr>
      <t>CREW</t>
    </r>
  </si>
  <si>
    <r>
      <rPr>
        <sz val="7"/>
        <rFont val="Times New Roman"/>
        <family val="1"/>
      </rPr>
      <t>PARFES</t>
    </r>
  </si>
  <si>
    <t>Phone</t>
  </si>
  <si>
    <t>Joining Date</t>
  </si>
  <si>
    <t>Bonus</t>
  </si>
  <si>
    <t>Gov. Fines</t>
  </si>
  <si>
    <t>Loans</t>
  </si>
  <si>
    <t>Admin. Fines</t>
  </si>
  <si>
    <t>Net Payment</t>
  </si>
  <si>
    <t>PATAKA
NUMBER</t>
  </si>
  <si>
    <t>BASIC SALARY</t>
  </si>
  <si>
    <t>Phone 968</t>
  </si>
  <si>
    <t>WhatsApp Msg</t>
  </si>
  <si>
    <t>MALEK AL PIZZA OMAN, MUSCAT - SALARY SHEET</t>
  </si>
  <si>
    <t>ACT.WORKING
DAYS</t>
  </si>
  <si>
    <t>SEP-2025</t>
  </si>
  <si>
    <t xml:space="preserve">Dear SHIR ALI
Here’s the information regarding your payment for SEP-2025:
BASIC SALARY: 190
OT/HRS: 10
LEAVE: 
ACT.WORKING
DAYS: 30
ACT. BASIC: 190
OT: 7.91666666666667
Bonus: 
DEDUCTIO
NS: 
Gov. Fines: 
Admin. Fines: 
Loans: 
Net Payment: 197.916666666667
</t>
  </si>
  <si>
    <t xml:space="preserve">Dear MOHAMED ISMAIL
Here’s the information regarding your payment for SEP-2025:
BASIC SALARY: 150
OT/HRS: 60
LEAVE: 
ACT.WORKING
DAYS: 30
ACT. BASIC: 150
OT: 37.5
Bonus: 10
DEDUCTIO
NS: 
Gov. Fines: 
Admin. Fines: 
Loans: 
Net Payment: 197.5
</t>
  </si>
  <si>
    <t xml:space="preserve">Dear PARFES
Here’s the information regarding your payment for SEP-2025:
BASIC SALARY: 130
OT/HRS: 42
LEAVE: 
ACT.WORKING
DAYS: 30
ACT. BASIC: 130
OT: 22.75
Bonus: 
DEDUCTIO
NS: 50
Gov. Fines: 
Admin. Fines: 
Loans: 
Net Payment: 102.75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</si>
</sst>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color rgb="FF000000"/>
      <name val="Times New Roman"/>
      <charset val="204"/>
    </font>
    <font>
      <b/>
      <sz val="7"/>
      <name val="Times New Roman"/>
      <family val="1"/>
    </font>
    <font>
      <sz val="7"/>
      <color rgb="FF000000"/>
      <name val="Times New Roman"/>
      <family val="2"/>
    </font>
    <font>
      <sz val="7"/>
      <name val="Times New Roman"/>
      <family val="1"/>
    </font>
    <font>
      <sz val="7"/>
      <color rgb="FF000000"/>
      <name val="Calibri"/>
      <family val="2"/>
    </font>
    <font>
      <b/>
      <sz val="7"/>
      <name val="Times New Roman"/>
      <family val="1"/>
    </font>
    <font>
      <sz val="7"/>
      <name val="Times New Roman"/>
      <family val="1"/>
    </font>
    <font>
      <sz val="7"/>
      <color rgb="FF00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8D08D"/>
      </patternFill>
    </fill>
    <fill>
      <patternFill patternType="solid">
        <fgColor rgb="FFD4DCE2"/>
      </patternFill>
    </fill>
    <fill>
      <patternFill patternType="solid">
        <fgColor rgb="FFDEEAF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 applyAlignment="1">
      <alignment horizontal="left" vertical="top"/>
    </xf>
    <xf numFmtId="1" fontId="2" fillId="4" borderId="1" xfId="0" applyNumberFormat="1" applyFont="1" applyFill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center" shrinkToFit="1"/>
    </xf>
    <xf numFmtId="1" fontId="2" fillId="4" borderId="7" xfId="0" applyNumberFormat="1" applyFont="1" applyFill="1" applyBorder="1" applyAlignment="1">
      <alignment horizontal="right" vertical="top" shrinkToFit="1"/>
    </xf>
    <xf numFmtId="0" fontId="3" fillId="0" borderId="7" xfId="0" applyFont="1" applyBorder="1" applyAlignment="1">
      <alignment horizontal="left" vertical="top" wrapText="1"/>
    </xf>
    <xf numFmtId="1" fontId="2" fillId="0" borderId="7" xfId="0" applyNumberFormat="1" applyFont="1" applyBorder="1" applyAlignment="1">
      <alignment horizontal="right" vertical="top" shrinkToFit="1"/>
    </xf>
    <xf numFmtId="0" fontId="0" fillId="0" borderId="7" xfId="0" applyBorder="1" applyAlignment="1">
      <alignment horizontal="left" vertical="center" wrapText="1"/>
    </xf>
    <xf numFmtId="164" fontId="2" fillId="0" borderId="7" xfId="0" applyNumberFormat="1" applyFont="1" applyBorder="1" applyAlignment="1">
      <alignment horizontal="right" vertical="top" shrinkToFit="1"/>
    </xf>
    <xf numFmtId="2" fontId="2" fillId="0" borderId="8" xfId="0" applyNumberFormat="1" applyFont="1" applyBorder="1" applyAlignment="1">
      <alignment horizontal="right" vertical="top" shrinkToFit="1"/>
    </xf>
    <xf numFmtId="2" fontId="2" fillId="0" borderId="10" xfId="0" applyNumberFormat="1" applyFont="1" applyBorder="1" applyAlignment="1">
      <alignment horizontal="right" vertical="top" shrinkToFit="1"/>
    </xf>
    <xf numFmtId="0" fontId="7" fillId="0" borderId="1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right" vertical="center" wrapText="1"/>
    </xf>
    <xf numFmtId="0" fontId="1" fillId="3" borderId="5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6" fillId="0" borderId="7" xfId="0" applyFont="1" applyBorder="1" applyAlignment="1">
      <alignment horizontal="left" vertical="top" wrapText="1"/>
    </xf>
    <xf numFmtId="0" fontId="5" fillId="3" borderId="0" xfId="0" applyFont="1" applyFill="1" applyAlignment="1">
      <alignment horizontal="right" vertical="top" wrapText="1"/>
    </xf>
    <xf numFmtId="2" fontId="2" fillId="0" borderId="0" xfId="0" applyNumberFormat="1" applyFont="1" applyAlignment="1">
      <alignment horizontal="right" vertical="top" shrinkToFit="1"/>
    </xf>
    <xf numFmtId="49" fontId="1" fillId="0" borderId="2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" xfId="1" xr:uid="{4B013FB9-B5BC-4F46-818A-19CC809998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zoomScale="140" zoomScaleNormal="140" workbookViewId="0">
      <pane xSplit="6" ySplit="3" topLeftCell="L4" activePane="bottomRight" state="frozen"/>
      <selection pane="topRight" activeCell="G1" sqref="G1"/>
      <selection pane="bottomLeft" activeCell="A4" sqref="A4"/>
      <selection pane="bottomRight" activeCell="U3" sqref="U3"/>
    </sheetView>
  </sheetViews>
  <sheetFormatPr defaultRowHeight="13.15" x14ac:dyDescent="0.25"/>
  <cols>
    <col min="1" max="1" width="11" customWidth="1"/>
    <col min="2" max="2" width="4.625" customWidth="1"/>
    <col min="3" max="3" width="16.5" customWidth="1"/>
    <col min="4" max="4" width="9.375" customWidth="1"/>
    <col min="5" max="5" width="12.125" bestFit="1" customWidth="1"/>
    <col min="6" max="6" width="8.5" customWidth="1"/>
    <col min="7" max="7" width="8.875" bestFit="1" customWidth="1"/>
    <col min="8" max="8" width="8" customWidth="1"/>
    <col min="9" max="9" width="6.875" customWidth="1"/>
    <col min="10" max="10" width="6.375" customWidth="1"/>
    <col min="11" max="11" width="12.625" customWidth="1"/>
    <col min="12" max="12" width="9.375" customWidth="1"/>
    <col min="13" max="13" width="6.375" customWidth="1"/>
    <col min="14" max="14" width="4.875" customWidth="1"/>
    <col min="15" max="15" width="6.5" bestFit="1" customWidth="1"/>
    <col min="16" max="16" width="6.875" customWidth="1"/>
    <col min="17" max="17" width="7.375" customWidth="1"/>
    <col min="18" max="18" width="6.375" customWidth="1"/>
    <col min="19" max="19" width="9.375" customWidth="1"/>
    <col min="21" max="21" width="31" customWidth="1"/>
  </cols>
  <sheetData>
    <row r="1" spans="1:21" ht="18" customHeight="1" x14ac:dyDescent="0.25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</row>
    <row r="2" spans="1:21" ht="15.05" customHeight="1" x14ac:dyDescent="0.25">
      <c r="A2" s="23" t="s">
        <v>28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</row>
    <row r="3" spans="1:21" ht="28.05" customHeight="1" thickBot="1" x14ac:dyDescent="0.3">
      <c r="A3" s="18" t="s">
        <v>0</v>
      </c>
      <c r="B3" s="18" t="s">
        <v>1</v>
      </c>
      <c r="C3" s="18" t="s">
        <v>2</v>
      </c>
      <c r="D3" s="19" t="s">
        <v>22</v>
      </c>
      <c r="E3" s="18" t="s">
        <v>3</v>
      </c>
      <c r="F3" s="18" t="s">
        <v>15</v>
      </c>
      <c r="G3" s="18" t="s">
        <v>16</v>
      </c>
      <c r="H3" s="19" t="s">
        <v>23</v>
      </c>
      <c r="I3" s="18" t="s">
        <v>4</v>
      </c>
      <c r="J3" s="18" t="s">
        <v>5</v>
      </c>
      <c r="K3" s="19" t="s">
        <v>27</v>
      </c>
      <c r="L3" s="18" t="s">
        <v>6</v>
      </c>
      <c r="M3" s="18" t="s">
        <v>7</v>
      </c>
      <c r="N3" s="18" t="s">
        <v>17</v>
      </c>
      <c r="O3" s="18" t="s">
        <v>8</v>
      </c>
      <c r="P3" s="18" t="s">
        <v>18</v>
      </c>
      <c r="Q3" s="18" t="s">
        <v>20</v>
      </c>
      <c r="R3" s="18" t="s">
        <v>19</v>
      </c>
      <c r="S3" s="18" t="s">
        <v>21</v>
      </c>
      <c r="T3" s="21" t="s">
        <v>24</v>
      </c>
      <c r="U3" s="21" t="s">
        <v>25</v>
      </c>
    </row>
    <row r="4" spans="1:21" ht="20.05" customHeight="1" x14ac:dyDescent="0.25">
      <c r="A4" s="29" t="s">
        <v>9</v>
      </c>
      <c r="B4" s="9">
        <v>1</v>
      </c>
      <c r="C4" s="10" t="s">
        <v>10</v>
      </c>
      <c r="D4" s="11">
        <v>113991728</v>
      </c>
      <c r="E4" s="10" t="s">
        <v>11</v>
      </c>
      <c r="F4" s="20">
        <v>91290417</v>
      </c>
      <c r="G4" s="10"/>
      <c r="H4" s="11">
        <v>190</v>
      </c>
      <c r="I4" s="17">
        <v>10</v>
      </c>
      <c r="J4" s="12"/>
      <c r="K4" s="11">
        <f>30-J4</f>
        <v>30</v>
      </c>
      <c r="L4" s="11">
        <f>H4/30*K4</f>
        <v>190</v>
      </c>
      <c r="M4" s="13">
        <f>H4/300*1.25*I4</f>
        <v>7.9166666666666661</v>
      </c>
      <c r="N4" s="11"/>
      <c r="O4" s="12"/>
      <c r="P4" s="12"/>
      <c r="Q4" s="12"/>
      <c r="R4" s="12"/>
      <c r="S4" s="14">
        <f>L4+M4+N4-(O4+P4+Q4+R4)</f>
        <v>197.91666666666666</v>
      </c>
      <c r="T4" s="22" t="str">
        <f>IF(F4="","",IF(LEN(F4)=8,"968"&amp;F4,F4))</f>
        <v>96891290417</v>
      </c>
      <c r="U4" t="str">
        <f>"Dear " &amp; C4 &amp; "
Here’s the information regarding your payment for " &amp; $A$2 &amp; ":
" &amp;
$H$3 &amp; ": " &amp; H4 &amp; CHAR(10) &amp;
$I$3 &amp; ": " &amp; I4 &amp; CHAR(10) &amp;
$J$3 &amp; ": " &amp; J4 &amp; CHAR(10) &amp;
$K$3 &amp; ": " &amp; K4 &amp; CHAR(10) &amp;
$L$3 &amp; ": " &amp; L4 &amp; CHAR(10) &amp;
$M$3 &amp; ": " &amp; M4 &amp; CHAR(10) &amp;
$N$3 &amp; ": " &amp; N4 &amp; CHAR(10) &amp;
$O$3 &amp; ": " &amp; O4 &amp; CHAR(10) &amp;
$P$3 &amp; ": " &amp; P4 &amp; CHAR(10) &amp;
$Q$3 &amp; ": " &amp; Q4 &amp; CHAR(10) &amp;
$R$3 &amp; ": " &amp; R4 &amp; CHAR(10) &amp;
$S$3 &amp; ": " &amp; S4 &amp; CHAR(10)</f>
        <v xml:space="preserve">Dear SHIR ALI
Here’s the information regarding your payment for SEP-2025:
BASIC SALARY: 190
OT/HRS: 10
LEAVE: 
ACT.WORKING
DAYS: 30
ACT. BASIC: 190
OT: 7.91666666666667
Bonus: 
DEDUCTIO
NS: 
Gov. Fines: 
Admin. Fines: 
Loans: 
Net Payment: 197.916666666667
</v>
      </c>
    </row>
    <row r="5" spans="1:21" ht="18.95" customHeight="1" x14ac:dyDescent="0.25">
      <c r="A5" s="30"/>
      <c r="B5" s="1">
        <v>2</v>
      </c>
      <c r="C5" s="2" t="s">
        <v>12</v>
      </c>
      <c r="D5" s="3">
        <v>136238801</v>
      </c>
      <c r="E5" s="6" t="s">
        <v>13</v>
      </c>
      <c r="F5" s="16">
        <v>78031168</v>
      </c>
      <c r="G5" s="6"/>
      <c r="H5" s="3">
        <v>150</v>
      </c>
      <c r="I5" s="7">
        <v>60</v>
      </c>
      <c r="J5" s="4"/>
      <c r="K5" s="3">
        <f t="shared" ref="K5:K6" si="0">30-J5</f>
        <v>30</v>
      </c>
      <c r="L5" s="3">
        <f t="shared" ref="L5:L6" si="1">H5/30*K5</f>
        <v>150</v>
      </c>
      <c r="M5" s="5">
        <f t="shared" ref="M5:M6" si="2">H5/300*1.25*I5</f>
        <v>37.5</v>
      </c>
      <c r="N5" s="3">
        <v>10</v>
      </c>
      <c r="O5" s="4"/>
      <c r="P5" s="4"/>
      <c r="Q5" s="4"/>
      <c r="R5" s="4"/>
      <c r="S5" s="15">
        <f t="shared" ref="S5:S6" si="3">L5+M5+N5-(O5+P5+Q5+R5)</f>
        <v>197.5</v>
      </c>
      <c r="T5" s="22" t="str">
        <f t="shared" ref="T5:T6" si="4">IF(F5="","",IF(LEN(F5)=8,"968"&amp;F5,F5))</f>
        <v>96878031168</v>
      </c>
      <c r="U5" t="str">
        <f t="shared" ref="U5:U6" si="5">"Dear " &amp; C5 &amp; "
Here’s the information regarding your payment for " &amp; $A$2 &amp; ":
" &amp;
$H$3 &amp; ": " &amp; H5 &amp; CHAR(10) &amp;
$I$3 &amp; ": " &amp; I5 &amp; CHAR(10) &amp;
$J$3 &amp; ": " &amp; J5 &amp; CHAR(10) &amp;
$K$3 &amp; ": " &amp; K5 &amp; CHAR(10) &amp;
$L$3 &amp; ": " &amp; L5 &amp; CHAR(10) &amp;
$M$3 &amp; ": " &amp; M5 &amp; CHAR(10) &amp;
$N$3 &amp; ": " &amp; N5 &amp; CHAR(10) &amp;
$O$3 &amp; ": " &amp; O5 &amp; CHAR(10) &amp;
$P$3 &amp; ": " &amp; P5 &amp; CHAR(10) &amp;
$Q$3 &amp; ": " &amp; Q5 &amp; CHAR(10) &amp;
$R$3 &amp; ": " &amp; R5 &amp; CHAR(10) &amp;
$S$3 &amp; ": " &amp; S5 &amp; CHAR(10)</f>
        <v xml:space="preserve">Dear MOHAMED ISMAIL
Here’s the information regarding your payment for SEP-2025:
BASIC SALARY: 150
OT/HRS: 60
LEAVE: 
ACT.WORKING
DAYS: 30
ACT. BASIC: 150
OT: 37.5
Bonus: 10
DEDUCTIO
NS: 
Gov. Fines: 
Admin. Fines: 
Loans: 
Net Payment: 197.5
</v>
      </c>
    </row>
    <row r="6" spans="1:21" ht="18.95" customHeight="1" x14ac:dyDescent="0.25">
      <c r="A6" s="30"/>
      <c r="B6" s="1">
        <v>3</v>
      </c>
      <c r="C6" s="2" t="s">
        <v>14</v>
      </c>
      <c r="D6" s="3">
        <v>105681573</v>
      </c>
      <c r="E6" s="6" t="s">
        <v>13</v>
      </c>
      <c r="F6" s="16">
        <v>90584310</v>
      </c>
      <c r="G6" s="6"/>
      <c r="H6" s="3">
        <v>130</v>
      </c>
      <c r="I6" s="8">
        <v>42</v>
      </c>
      <c r="J6" s="4"/>
      <c r="K6" s="3">
        <f t="shared" si="0"/>
        <v>30</v>
      </c>
      <c r="L6" s="3">
        <f t="shared" si="1"/>
        <v>130</v>
      </c>
      <c r="M6" s="5">
        <f t="shared" si="2"/>
        <v>22.750000000000004</v>
      </c>
      <c r="N6" s="3"/>
      <c r="O6" s="7">
        <v>50</v>
      </c>
      <c r="P6" s="7"/>
      <c r="Q6" s="7"/>
      <c r="R6" s="4"/>
      <c r="S6" s="15">
        <f t="shared" si="3"/>
        <v>102.75</v>
      </c>
      <c r="T6" s="22" t="str">
        <f t="shared" si="4"/>
        <v>96890584310</v>
      </c>
      <c r="U6" t="str">
        <f t="shared" si="5"/>
        <v xml:space="preserve">Dear PARFES
Here’s the information regarding your payment for SEP-2025:
BASIC SALARY: 130
OT/HRS: 42
LEAVE: 
ACT.WORKING
DAYS: 30
ACT. BASIC: 130
OT: 22.75
Bonus: 
DEDUCTIO
NS: 50
Gov. Fines: 
Admin. Fines: 
Loans: 
Net Payment: 102.75
</v>
      </c>
    </row>
    <row r="8" spans="1:21" ht="70.3" customHeight="1" x14ac:dyDescent="0.25">
      <c r="U8" s="31" t="s">
        <v>29</v>
      </c>
    </row>
    <row r="9" spans="1:21" ht="70.3" customHeight="1" x14ac:dyDescent="0.25">
      <c r="U9" s="31" t="s">
        <v>30</v>
      </c>
    </row>
    <row r="10" spans="1:21" ht="70.3" customHeight="1" x14ac:dyDescent="0.25">
      <c r="U10" s="31" t="s">
        <v>31</v>
      </c>
    </row>
  </sheetData>
  <mergeCells count="2">
    <mergeCell ref="A2:S2"/>
    <mergeCell ref="A1:S1"/>
  </mergeCells>
  <pageMargins left="0.12" right="0.2" top="0.13" bottom="0.13" header="0.3" footer="0.1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SALARY OCT</vt:lpstr>
      <vt:lpstr>'SALARY 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malekcontrol@gmail.com</dc:creator>
  <cp:lastModifiedBy>Malek Al-Pizza</cp:lastModifiedBy>
  <cp:lastPrinted>2026-08-01T09:34:52Z</cp:lastPrinted>
  <dcterms:created xsi:type="dcterms:W3CDTF">2025-09-14T07:31:01Z</dcterms:created>
  <dcterms:modified xsi:type="dcterms:W3CDTF">2026-08-05T09:29:28Z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2025-08-29T00:00:00Z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2025-09-14T00:00:00Z</vt:filetime>
  </property>
  <property fmtid="{D5CDD505-2E9C-101B-9397-08002B2CF9AE}" pid="5" name="Producer">
    <vt:lpwstr>Microsoft® Excel® 2021</vt:lpwstr>
  </property>
</Properties>
</file>